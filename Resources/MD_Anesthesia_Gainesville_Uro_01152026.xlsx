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delano/Dropbox/Mandy/MDAnesthesiaLLC/Invoices_2026/"/>
    </mc:Choice>
  </mc:AlternateContent>
  <xr:revisionPtr revIDLastSave="0" documentId="8_{05BA1914-2C08-A443-BF54-C55D03817E49}" xr6:coauthVersionLast="47" xr6:coauthVersionMax="47" xr10:uidLastSave="{00000000-0000-0000-0000-000000000000}"/>
  <bookViews>
    <workbookView xWindow="1900" yWindow="760" windowWidth="28040" windowHeight="16940" xr2:uid="{4D603086-53BC-374D-837D-2E03E1AF680E}"/>
  </bookViews>
  <sheets>
    <sheet name="MDA_INVOICE" sheetId="1" r:id="rId1"/>
    <sheet name="CONTRACT" sheetId="3" r:id="rId2"/>
    <sheet name="LINE_ITEM" sheetId="2" r:id="rId3"/>
  </sheets>
  <definedNames>
    <definedName name="AddressList" comment="Addresses named range">CONTRACT!$A$3:$J$36</definedName>
    <definedName name="BillName">MDA_INVOICE!$D$7</definedName>
    <definedName name="CodesList">LINE_ITEM!$A$2:$E$20</definedName>
    <definedName name="ContractName">CONTRACT!$A$2:$A$36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16" i="1"/>
  <c r="F28" i="1"/>
  <c r="F32" i="1"/>
  <c r="F16" i="1"/>
  <c r="D9" i="1"/>
  <c r="D5" i="1" l="1"/>
  <c r="D10" i="1"/>
  <c r="D11" i="1"/>
  <c r="D12" i="1"/>
  <c r="D8" i="1"/>
  <c r="G36" i="1" l="1"/>
</calcChain>
</file>

<file path=xl/sharedStrings.xml><?xml version="1.0" encoding="utf-8"?>
<sst xmlns="http://schemas.openxmlformats.org/spreadsheetml/2006/main" count="112" uniqueCount="86">
  <si>
    <t>Amanda Delano, CRNA</t>
  </si>
  <si>
    <t>MD Anesthesia Services, LLC</t>
  </si>
  <si>
    <t>954 Fairlong Dr NW</t>
  </si>
  <si>
    <t>Acworth, GA 30101</t>
  </si>
  <si>
    <t>Phone:</t>
  </si>
  <si>
    <t>404-940-7218</t>
  </si>
  <si>
    <t>Email:</t>
  </si>
  <si>
    <t>amanda_jones77@yahoo.com</t>
  </si>
  <si>
    <t>Invoice Date:</t>
  </si>
  <si>
    <t>Description</t>
  </si>
  <si>
    <t>Amount</t>
  </si>
  <si>
    <t>ANES8</t>
  </si>
  <si>
    <t>Anesthesia Services</t>
  </si>
  <si>
    <t>ITEMNO</t>
  </si>
  <si>
    <t>DESC</t>
  </si>
  <si>
    <t>AMT</t>
  </si>
  <si>
    <t>Bill To:</t>
  </si>
  <si>
    <t>CompanyName</t>
  </si>
  <si>
    <t>Phone</t>
  </si>
  <si>
    <t>Address</t>
  </si>
  <si>
    <t>Address2</t>
  </si>
  <si>
    <t>City</t>
  </si>
  <si>
    <t>Zip</t>
  </si>
  <si>
    <t>State</t>
  </si>
  <si>
    <t>Email</t>
  </si>
  <si>
    <t>Fax</t>
  </si>
  <si>
    <t>1st Choice Dental</t>
  </si>
  <si>
    <t>Dusti Reed</t>
  </si>
  <si>
    <t>10956 Highway 92</t>
  </si>
  <si>
    <t>Woodstock</t>
  </si>
  <si>
    <t>GA</t>
  </si>
  <si>
    <t>678-905-6816</t>
  </si>
  <si>
    <t>Dusti@my1stchoicedentalcare.com</t>
  </si>
  <si>
    <t>Address:</t>
  </si>
  <si>
    <t>WMD</t>
  </si>
  <si>
    <t>Mike Delano</t>
  </si>
  <si>
    <t>Acworth</t>
  </si>
  <si>
    <t>wmdelano@gmail.com</t>
  </si>
  <si>
    <t>Contact</t>
  </si>
  <si>
    <t xml:space="preserve"> </t>
  </si>
  <si>
    <t>Contact:</t>
  </si>
  <si>
    <t>test</t>
  </si>
  <si>
    <t>Date</t>
  </si>
  <si>
    <t>Code</t>
  </si>
  <si>
    <t>NOTES</t>
  </si>
  <si>
    <t>ANES1</t>
  </si>
  <si>
    <t>Anesthesia Services (Hourly)</t>
  </si>
  <si>
    <t>Hourly rate beyond 8 hour contract day</t>
  </si>
  <si>
    <t>Standrd 8 hour contract rate</t>
  </si>
  <si>
    <t>QTY</t>
  </si>
  <si>
    <t>478-595-0136</t>
  </si>
  <si>
    <t>CXLNC</t>
  </si>
  <si>
    <t>Cancelled No Charge</t>
  </si>
  <si>
    <t>Peachtree Dentures and Implants</t>
  </si>
  <si>
    <t>5901 Peachtree Dunwoody Rd</t>
  </si>
  <si>
    <t>Atlanta</t>
  </si>
  <si>
    <t>SELECT CONTRACT</t>
  </si>
  <si>
    <t>Stockbridge Dentures and Implants</t>
  </si>
  <si>
    <t>278 E. Atlanta Rd</t>
  </si>
  <si>
    <t>Stockbridge</t>
  </si>
  <si>
    <t>404-999-2769</t>
  </si>
  <si>
    <t>470-713-6770</t>
  </si>
  <si>
    <t>CONTRACT</t>
  </si>
  <si>
    <t>CONTRACT RATE</t>
  </si>
  <si>
    <t>Georgia Implants and Dentures</t>
  </si>
  <si>
    <t>470-695-3071</t>
  </si>
  <si>
    <t>918 Market Pl Blvd</t>
  </si>
  <si>
    <t>Cumming</t>
  </si>
  <si>
    <t>Gainesville</t>
  </si>
  <si>
    <t>splavin438@gmail.com</t>
  </si>
  <si>
    <t>1240 Jesse Jewell Pkwy SE</t>
  </si>
  <si>
    <t>404-242-6360</t>
  </si>
  <si>
    <t>Gainesville Urologry</t>
  </si>
  <si>
    <t>Ambulatory Anesthesia Services, Dr. Stan Plavin</t>
  </si>
  <si>
    <t>CONTRACT AAS</t>
  </si>
  <si>
    <t>IN: 8:00AM</t>
  </si>
  <si>
    <t>OUT: 12:30PM</t>
  </si>
  <si>
    <t>HOURS: 4.5</t>
  </si>
  <si>
    <t>IN: 7:00AM</t>
  </si>
  <si>
    <t>OUT: 5:00PM</t>
  </si>
  <si>
    <t>HOURS: 10.0</t>
  </si>
  <si>
    <t>HOURS: 5.5</t>
  </si>
  <si>
    <t>IN: 8:30AM</t>
  </si>
  <si>
    <t>HOURS: 3.0</t>
  </si>
  <si>
    <t>Out: 3:45PM</t>
  </si>
  <si>
    <t>HOURS: 8.75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</si>
</sst>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;@"/>
    <numFmt numFmtId="165" formatCode="&quot;$&quot;#,##0.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165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center" vertical="top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3" fontId="0" fillId="0" borderId="0" xfId="0" applyNumberFormat="1"/>
    <xf numFmtId="0" fontId="0" fillId="0" borderId="3" xfId="0" applyBorder="1"/>
    <xf numFmtId="165" fontId="1" fillId="0" borderId="3" xfId="0" applyNumberFormat="1" applyFont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8">
    <dxf>
      <numFmt numFmtId="165" formatCode="&quot;$&quot;#,##0.00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/d/yyyy;@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No Shading" pivot="0" count="0" xr9:uid="{25CA8802-CF58-C24A-BA0D-C36E81FC33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98CD6E-73BE-234E-8BE4-856A8883558F}" name="Table2" displayName="Table2" ref="C15:G36" totalsRowShown="0" headerRowDxfId="7" dataDxfId="5" headerRowBorderDxfId="6">
  <autoFilter ref="C15:G36" xr:uid="{5A98CD6E-73BE-234E-8BE4-856A8883558F}"/>
  <tableColumns count="5">
    <tableColumn id="1" xr3:uid="{DD51AF57-79E6-E642-8FF2-11CC868709EF}" name="Date" dataDxfId="4"/>
    <tableColumn id="2" xr3:uid="{34F8DFAE-1BF8-E74D-926D-1858B6AAF149}" name="Code" dataDxfId="3"/>
    <tableColumn id="3" xr3:uid="{31AF5484-75BC-AD42-AFCC-CDF0F09286D5}" name="QTY" dataDxfId="2"/>
    <tableColumn id="4" xr3:uid="{3017C24F-EF6F-9B46-9D59-6BA22A75FF16}" name="Description" dataDxfId="1"/>
    <tableColumn id="6" xr3:uid="{5D859D7E-677B-7A45-BAEA-ADEE6893C300}" name="Amount" dataDxfId="0"/>
  </tableColumns>
  <tableStyleInfo name="No Shading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4ACD-676A-E04A-B5A8-670AFFA17CA3}">
  <dimension ref="B1:G36"/>
  <sheetViews>
    <sheetView tabSelected="1" zoomScaleNormal="100" workbookViewId="0">
      <selection activeCell="F36" sqref="F36"/>
    </sheetView>
  </sheetViews>
  <sheetFormatPr baseColWidth="10" defaultRowHeight="16" x14ac:dyDescent="0.2"/>
  <cols>
    <col min="1" max="1" width="1.5" customWidth="1"/>
    <col min="2" max="2" width="19.83203125" customWidth="1"/>
    <col min="3" max="3" width="11.83203125" customWidth="1"/>
    <col min="4" max="4" width="19.33203125" customWidth="1"/>
    <col min="5" max="5" width="6.33203125" customWidth="1"/>
    <col min="6" max="6" width="21.83203125" customWidth="1"/>
    <col min="7" max="7" width="10.6640625" style="5" customWidth="1"/>
    <col min="8" max="8" width="26.1640625" bestFit="1" customWidth="1"/>
  </cols>
  <sheetData>
    <row r="1" spans="2:7" ht="8" customHeight="1" x14ac:dyDescent="0.2"/>
    <row r="2" spans="2:7" ht="32" customHeight="1" x14ac:dyDescent="0.2">
      <c r="B2" s="19" t="s">
        <v>0</v>
      </c>
      <c r="C2" s="20"/>
      <c r="D2" s="2" t="s">
        <v>2</v>
      </c>
      <c r="E2" s="3" t="s">
        <v>4</v>
      </c>
      <c r="F2" t="s">
        <v>50</v>
      </c>
    </row>
    <row r="3" spans="2:7" s="1" customFormat="1" ht="32" customHeight="1" x14ac:dyDescent="0.2">
      <c r="B3" s="21" t="s">
        <v>1</v>
      </c>
      <c r="C3" s="22"/>
      <c r="D3" s="10" t="s">
        <v>3</v>
      </c>
      <c r="E3" s="4" t="s">
        <v>6</v>
      </c>
      <c r="F3" s="1" t="s">
        <v>7</v>
      </c>
      <c r="G3" s="7"/>
    </row>
    <row r="4" spans="2:7" s="1" customFormat="1" ht="53" customHeight="1" x14ac:dyDescent="0.2">
      <c r="B4" s="11"/>
      <c r="C4" s="11"/>
      <c r="D4" s="10"/>
      <c r="E4" s="4"/>
      <c r="G4" s="7"/>
    </row>
    <row r="5" spans="2:7" s="1" customFormat="1" ht="17" customHeight="1" x14ac:dyDescent="0.2">
      <c r="B5" s="11"/>
      <c r="C5" s="3" t="s">
        <v>8</v>
      </c>
      <c r="D5" s="6">
        <f ca="1">TODAY()</f>
        <v>46037</v>
      </c>
      <c r="E5" s="4"/>
      <c r="G5" s="7"/>
    </row>
    <row r="6" spans="2:7" s="1" customFormat="1" ht="17" customHeight="1" x14ac:dyDescent="0.2">
      <c r="B6" s="11"/>
      <c r="C6" s="11"/>
      <c r="D6" s="10"/>
      <c r="E6" s="4"/>
      <c r="G6" s="7"/>
    </row>
    <row r="7" spans="2:7" ht="17" customHeight="1" x14ac:dyDescent="0.2">
      <c r="C7" s="3" t="s">
        <v>16</v>
      </c>
      <c r="D7" t="s">
        <v>72</v>
      </c>
    </row>
    <row r="8" spans="2:7" ht="17" customHeight="1" x14ac:dyDescent="0.2">
      <c r="C8" s="3" t="s">
        <v>33</v>
      </c>
      <c r="D8" t="str">
        <f>VLOOKUP(BillName,CONTRACT!$A$2:$J$16,3,FALSE)</f>
        <v>1240 Jesse Jewell Pkwy SE</v>
      </c>
    </row>
    <row r="9" spans="2:7" ht="17" customHeight="1" x14ac:dyDescent="0.2">
      <c r="C9" s="3"/>
      <c r="D9" t="str">
        <f>IF(VLOOKUP(BillName,CONTRACT!$A$2:$J$16,4,FALSE)="","",IF(VLOOKUP(BillName,CONTRACT!$A$2:$J$16,5,FALSE)&lt;&gt;"",CONCATENATE(VLOOKUP(BillName,CONTRACT!$A$2:$J$16,5,FALSE),", ",VLOOKUP(BillName,CONTRACT!$A$2:$J$16,6,FALSE)," ",VLOOKUP(BillName,CONTRACT!$A$2:$J$16,7,FALSE))))</f>
        <v>Gainesville, GA 30501</v>
      </c>
    </row>
    <row r="10" spans="2:7" ht="17" customHeight="1" x14ac:dyDescent="0.2">
      <c r="C10" s="3" t="s">
        <v>40</v>
      </c>
      <c r="D10" t="str">
        <f>VLOOKUP(BillName,CONTRACT!$A$2:$J$16,2,FALSE)</f>
        <v>Ambulatory Anesthesia Services, Dr. Stan Plavin</v>
      </c>
      <c r="F10" s="2"/>
    </row>
    <row r="11" spans="2:7" ht="17" customHeight="1" x14ac:dyDescent="0.2">
      <c r="C11" s="3" t="s">
        <v>4</v>
      </c>
      <c r="D11" t="str">
        <f>VLOOKUP(BillName,CONTRACT!$A$2:$J$16,8,FALSE)</f>
        <v>404-242-6360</v>
      </c>
      <c r="F11" s="2"/>
    </row>
    <row r="12" spans="2:7" ht="17" customHeight="1" x14ac:dyDescent="0.2">
      <c r="C12" s="3" t="s">
        <v>6</v>
      </c>
      <c r="D12" t="str">
        <f>VLOOKUP(BillName,CONTRACT!$A$2:$J$16,9,FALSE)</f>
        <v>splavin438@gmail.com</v>
      </c>
      <c r="F12" s="2"/>
    </row>
    <row r="13" spans="2:7" ht="17" customHeight="1" x14ac:dyDescent="0.2"/>
    <row r="15" spans="2:7" x14ac:dyDescent="0.2">
      <c r="C15" s="8" t="s">
        <v>42</v>
      </c>
      <c r="D15" s="8" t="s">
        <v>43</v>
      </c>
      <c r="E15" s="8" t="s">
        <v>49</v>
      </c>
      <c r="F15" s="8" t="s">
        <v>9</v>
      </c>
      <c r="G15" s="9" t="s">
        <v>10</v>
      </c>
    </row>
    <row r="16" spans="2:7" s="14" customFormat="1" ht="18" customHeight="1" x14ac:dyDescent="0.2">
      <c r="C16" s="12">
        <v>46027</v>
      </c>
      <c r="D16" s="13" t="s">
        <v>74</v>
      </c>
      <c r="E16" s="14">
        <v>4.5</v>
      </c>
      <c r="F16" s="13" t="str">
        <f>IFERROR(VLOOKUP($D16,CodesList,2,FALSE),"")</f>
        <v>CONTRACT RATE</v>
      </c>
      <c r="G16" s="15">
        <f>IF($E16*225=0,"",$E16*225)</f>
        <v>1012.5</v>
      </c>
    </row>
    <row r="17" spans="3:7" s="14" customFormat="1" ht="18" customHeight="1" x14ac:dyDescent="0.2">
      <c r="C17" s="12"/>
      <c r="D17" s="13"/>
      <c r="F17" s="13" t="s">
        <v>75</v>
      </c>
      <c r="G17" s="15" t="str">
        <f t="shared" ref="G17:G35" si="0">IF($E17*225=0,"",$E17*225)</f>
        <v/>
      </c>
    </row>
    <row r="18" spans="3:7" s="14" customFormat="1" ht="18" customHeight="1" x14ac:dyDescent="0.2">
      <c r="C18" s="12"/>
      <c r="D18" s="13"/>
      <c r="F18" s="13" t="s">
        <v>76</v>
      </c>
      <c r="G18" s="15" t="str">
        <f t="shared" si="0"/>
        <v/>
      </c>
    </row>
    <row r="19" spans="3:7" s="14" customFormat="1" ht="18" customHeight="1" x14ac:dyDescent="0.2">
      <c r="C19" s="12"/>
      <c r="D19" s="13"/>
      <c r="F19" s="13" t="s">
        <v>77</v>
      </c>
      <c r="G19" s="15" t="str">
        <f t="shared" si="0"/>
        <v/>
      </c>
    </row>
    <row r="20" spans="3:7" s="14" customFormat="1" ht="18" customHeight="1" x14ac:dyDescent="0.2">
      <c r="C20" s="12">
        <v>46028</v>
      </c>
      <c r="D20" s="13" t="s">
        <v>74</v>
      </c>
      <c r="E20" s="14">
        <v>10</v>
      </c>
      <c r="F20" s="13" t="s">
        <v>63</v>
      </c>
      <c r="G20" s="15">
        <f t="shared" si="0"/>
        <v>2250</v>
      </c>
    </row>
    <row r="21" spans="3:7" s="14" customFormat="1" ht="18" customHeight="1" x14ac:dyDescent="0.2">
      <c r="C21" s="12"/>
      <c r="D21" s="13"/>
      <c r="F21" s="13" t="s">
        <v>78</v>
      </c>
      <c r="G21" s="15" t="str">
        <f t="shared" si="0"/>
        <v/>
      </c>
    </row>
    <row r="22" spans="3:7" s="14" customFormat="1" ht="18" customHeight="1" x14ac:dyDescent="0.2">
      <c r="C22" s="12"/>
      <c r="D22" s="13"/>
      <c r="F22" s="13" t="s">
        <v>79</v>
      </c>
      <c r="G22" s="15" t="str">
        <f t="shared" si="0"/>
        <v/>
      </c>
    </row>
    <row r="23" spans="3:7" s="14" customFormat="1" ht="18" customHeight="1" x14ac:dyDescent="0.2">
      <c r="C23" s="12"/>
      <c r="D23" s="13"/>
      <c r="F23" s="13" t="s">
        <v>80</v>
      </c>
      <c r="G23" s="15" t="str">
        <f t="shared" si="0"/>
        <v/>
      </c>
    </row>
    <row r="24" spans="3:7" s="14" customFormat="1" ht="18" customHeight="1" x14ac:dyDescent="0.2">
      <c r="C24" s="12">
        <v>46030</v>
      </c>
      <c r="D24" s="13" t="s">
        <v>74</v>
      </c>
      <c r="E24" s="14">
        <v>5.5</v>
      </c>
      <c r="F24" s="13" t="s">
        <v>63</v>
      </c>
      <c r="G24" s="15">
        <f t="shared" si="0"/>
        <v>1237.5</v>
      </c>
    </row>
    <row r="25" spans="3:7" s="14" customFormat="1" ht="18" customHeight="1" x14ac:dyDescent="0.2">
      <c r="C25" s="12"/>
      <c r="D25" s="13"/>
      <c r="F25" s="13" t="s">
        <v>78</v>
      </c>
      <c r="G25" s="15" t="str">
        <f t="shared" si="0"/>
        <v/>
      </c>
    </row>
    <row r="26" spans="3:7" s="14" customFormat="1" ht="18" customHeight="1" x14ac:dyDescent="0.2">
      <c r="C26" s="12"/>
      <c r="D26" s="13"/>
      <c r="F26" s="13" t="s">
        <v>76</v>
      </c>
      <c r="G26" s="15" t="str">
        <f t="shared" si="0"/>
        <v/>
      </c>
    </row>
    <row r="27" spans="3:7" s="14" customFormat="1" ht="18" customHeight="1" x14ac:dyDescent="0.2">
      <c r="C27" s="12"/>
      <c r="D27" s="13"/>
      <c r="F27" s="13" t="s">
        <v>81</v>
      </c>
      <c r="G27" s="15" t="str">
        <f t="shared" si="0"/>
        <v/>
      </c>
    </row>
    <row r="28" spans="3:7" s="14" customFormat="1" ht="18" customHeight="1" x14ac:dyDescent="0.2">
      <c r="C28" s="12">
        <v>46034</v>
      </c>
      <c r="D28" s="13" t="s">
        <v>74</v>
      </c>
      <c r="E28" s="14">
        <v>3</v>
      </c>
      <c r="F28" s="13" t="str">
        <f t="shared" ref="F28:F35" si="1">IFERROR(VLOOKUP($D28,CodesList,2,FALSE),"")</f>
        <v>CONTRACT RATE</v>
      </c>
      <c r="G28" s="15">
        <f t="shared" si="0"/>
        <v>675</v>
      </c>
    </row>
    <row r="29" spans="3:7" s="14" customFormat="1" ht="18" customHeight="1" x14ac:dyDescent="0.2">
      <c r="C29" s="12"/>
      <c r="D29" s="13"/>
      <c r="F29" s="13" t="s">
        <v>82</v>
      </c>
      <c r="G29" s="15" t="str">
        <f t="shared" si="0"/>
        <v/>
      </c>
    </row>
    <row r="30" spans="3:7" s="14" customFormat="1" ht="18" customHeight="1" x14ac:dyDescent="0.2">
      <c r="C30" s="12"/>
      <c r="D30" s="13"/>
      <c r="F30" s="13" t="s">
        <v>76</v>
      </c>
      <c r="G30" s="15" t="str">
        <f t="shared" si="0"/>
        <v/>
      </c>
    </row>
    <row r="31" spans="3:7" s="14" customFormat="1" ht="18" customHeight="1" x14ac:dyDescent="0.2">
      <c r="C31" s="12"/>
      <c r="D31" s="13"/>
      <c r="F31" s="13" t="s">
        <v>83</v>
      </c>
      <c r="G31" s="15" t="str">
        <f t="shared" si="0"/>
        <v/>
      </c>
    </row>
    <row r="32" spans="3:7" s="14" customFormat="1" ht="18" customHeight="1" x14ac:dyDescent="0.2">
      <c r="C32" s="12">
        <v>46037</v>
      </c>
      <c r="D32" s="13" t="s">
        <v>74</v>
      </c>
      <c r="E32" s="14">
        <v>8.75</v>
      </c>
      <c r="F32" s="13" t="str">
        <f t="shared" si="1"/>
        <v>CONTRACT RATE</v>
      </c>
      <c r="G32" s="15">
        <f t="shared" si="0"/>
        <v>1968.75</v>
      </c>
    </row>
    <row r="33" spans="3:7" s="14" customFormat="1" ht="18" customHeight="1" x14ac:dyDescent="0.2">
      <c r="C33" s="12"/>
      <c r="D33" s="13"/>
      <c r="F33" s="13" t="s">
        <v>78</v>
      </c>
      <c r="G33" s="15" t="str">
        <f t="shared" si="0"/>
        <v/>
      </c>
    </row>
    <row r="34" spans="3:7" s="14" customFormat="1" ht="18" customHeight="1" x14ac:dyDescent="0.2">
      <c r="C34" s="12"/>
      <c r="D34" s="13"/>
      <c r="F34" s="13" t="s">
        <v>84</v>
      </c>
      <c r="G34" s="15" t="str">
        <f t="shared" si="0"/>
        <v/>
      </c>
    </row>
    <row r="35" spans="3:7" x14ac:dyDescent="0.2">
      <c r="C35" s="12"/>
      <c r="D35" s="13"/>
      <c r="E35" s="14"/>
      <c r="F35" s="13" t="s">
        <v>85</v>
      </c>
      <c r="G35" s="15" t="str">
        <f t="shared" si="0"/>
        <v/>
      </c>
    </row>
    <row r="36" spans="3:7" x14ac:dyDescent="0.2">
      <c r="C36" s="17"/>
      <c r="D36" s="17"/>
      <c r="E36" s="17"/>
      <c r="F36" s="17"/>
      <c r="G36" s="18">
        <f>SUM(G16:G34)</f>
        <v>7143.75</v>
      </c>
    </row>
  </sheetData>
  <mergeCells count="2">
    <mergeCell ref="B2:C2"/>
    <mergeCell ref="B3:C3"/>
  </mergeCells>
  <printOptions horizontalCentered="1"/>
  <pageMargins left="0.25" right="0.25" top="0.5" bottom="0.5" header="0.3" footer="0.3"/>
  <pageSetup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9FD37E-0299-6C49-99D9-D97B31F3A8BC}">
          <x14:formula1>
            <xm:f>CONTRACT!$A$2:$A$211</xm:f>
          </x14:formula1>
          <xm:sqref>D7</xm:sqref>
        </x14:dataValidation>
        <x14:dataValidation type="list" allowBlank="1" showInputMessage="1" showErrorMessage="1" xr:uid="{8C76AB92-29D9-0E40-BCB4-0B756D10F5AD}">
          <x14:formula1>
            <xm:f>LINE_ITEM!$A$2:$A$25</xm:f>
          </x14:formula1>
          <xm:sqref>D16:D35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F3C9-2582-604B-9ADA-BA8775DC9592}">
  <dimension ref="A1:J8"/>
  <sheetViews>
    <sheetView workbookViewId="0">
      <selection activeCell="C12" sqref="C12"/>
    </sheetView>
  </sheetViews>
  <sheetFormatPr baseColWidth="10" defaultRowHeight="16" x14ac:dyDescent="0.2"/>
  <cols>
    <col min="1" max="1" width="28.83203125" bestFit="1" customWidth="1"/>
    <col min="2" max="2" width="41" bestFit="1" customWidth="1"/>
    <col min="3" max="3" width="25.83203125" bestFit="1" customWidth="1"/>
    <col min="4" max="4" width="8.6640625" bestFit="1" customWidth="1"/>
    <col min="5" max="5" width="10.1640625" bestFit="1" customWidth="1"/>
    <col min="6" max="6" width="5.5" bestFit="1" customWidth="1"/>
    <col min="7" max="7" width="6.1640625" bestFit="1" customWidth="1"/>
    <col min="8" max="8" width="12.5" bestFit="1" customWidth="1"/>
    <col min="9" max="9" width="30.5" bestFit="1" customWidth="1"/>
    <col min="10" max="10" width="4" bestFit="1" customWidth="1"/>
  </cols>
  <sheetData>
    <row r="1" spans="1:10" x14ac:dyDescent="0.2">
      <c r="A1" t="s">
        <v>17</v>
      </c>
      <c r="B1" t="s">
        <v>38</v>
      </c>
      <c r="C1" t="s">
        <v>19</v>
      </c>
      <c r="D1" t="s">
        <v>20</v>
      </c>
      <c r="E1" t="s">
        <v>21</v>
      </c>
      <c r="F1" t="s">
        <v>23</v>
      </c>
      <c r="G1" t="s">
        <v>22</v>
      </c>
      <c r="H1" t="s">
        <v>18</v>
      </c>
      <c r="I1" t="s">
        <v>24</v>
      </c>
      <c r="J1" t="s">
        <v>25</v>
      </c>
    </row>
    <row r="2" spans="1:10" x14ac:dyDescent="0.2">
      <c r="A2" t="s">
        <v>56</v>
      </c>
    </row>
    <row r="3" spans="1:10" x14ac:dyDescent="0.2">
      <c r="A3" t="s">
        <v>26</v>
      </c>
      <c r="B3" t="s">
        <v>27</v>
      </c>
      <c r="C3" t="s">
        <v>28</v>
      </c>
      <c r="D3" t="s">
        <v>39</v>
      </c>
      <c r="E3" t="s">
        <v>29</v>
      </c>
      <c r="F3" t="s">
        <v>30</v>
      </c>
      <c r="G3">
        <v>30188</v>
      </c>
      <c r="H3" t="s">
        <v>31</v>
      </c>
      <c r="I3" t="s">
        <v>32</v>
      </c>
    </row>
    <row r="4" spans="1:10" x14ac:dyDescent="0.2">
      <c r="A4" t="s">
        <v>57</v>
      </c>
      <c r="C4" t="s">
        <v>58</v>
      </c>
      <c r="D4" t="s">
        <v>39</v>
      </c>
      <c r="E4" t="s">
        <v>59</v>
      </c>
      <c r="F4" t="s">
        <v>30</v>
      </c>
      <c r="G4">
        <v>30281</v>
      </c>
      <c r="H4" t="s">
        <v>60</v>
      </c>
    </row>
    <row r="5" spans="1:10" x14ac:dyDescent="0.2">
      <c r="A5" t="s">
        <v>53</v>
      </c>
      <c r="C5" t="s">
        <v>54</v>
      </c>
      <c r="D5" t="s">
        <v>39</v>
      </c>
      <c r="E5" t="s">
        <v>55</v>
      </c>
      <c r="F5" t="s">
        <v>30</v>
      </c>
      <c r="G5">
        <v>30328</v>
      </c>
      <c r="H5" t="s">
        <v>61</v>
      </c>
    </row>
    <row r="6" spans="1:10" x14ac:dyDescent="0.2">
      <c r="A6" t="s">
        <v>72</v>
      </c>
      <c r="B6" t="s">
        <v>73</v>
      </c>
      <c r="C6" t="s">
        <v>70</v>
      </c>
      <c r="D6" t="s">
        <v>39</v>
      </c>
      <c r="E6" t="s">
        <v>68</v>
      </c>
      <c r="F6" t="s">
        <v>30</v>
      </c>
      <c r="G6">
        <v>30501</v>
      </c>
      <c r="H6" t="s">
        <v>71</v>
      </c>
      <c r="I6" t="s">
        <v>69</v>
      </c>
    </row>
    <row r="7" spans="1:10" x14ac:dyDescent="0.2">
      <c r="A7" t="s">
        <v>64</v>
      </c>
      <c r="C7" t="s">
        <v>66</v>
      </c>
      <c r="D7" t="s">
        <v>39</v>
      </c>
      <c r="E7" t="s">
        <v>67</v>
      </c>
      <c r="F7" t="s">
        <v>30</v>
      </c>
      <c r="G7">
        <v>30041</v>
      </c>
      <c r="H7" t="s">
        <v>65</v>
      </c>
    </row>
    <row r="8" spans="1:10" x14ac:dyDescent="0.2">
      <c r="A8" t="s">
        <v>34</v>
      </c>
      <c r="B8" t="s">
        <v>35</v>
      </c>
      <c r="C8" t="s">
        <v>2</v>
      </c>
      <c r="D8" t="s">
        <v>41</v>
      </c>
      <c r="E8" t="s">
        <v>36</v>
      </c>
      <c r="F8" t="s">
        <v>30</v>
      </c>
      <c r="G8">
        <v>30101</v>
      </c>
      <c r="H8" t="s">
        <v>5</v>
      </c>
      <c r="I8" t="s">
        <v>37</v>
      </c>
    </row>
  </sheetData>
  <pageMargins left="0.7" right="0.7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92A8-C0B0-C445-99B2-B1ED04786B5F}">
  <dimension ref="A1:E6"/>
  <sheetViews>
    <sheetView workbookViewId="0">
      <selection activeCell="A7" sqref="A7"/>
    </sheetView>
  </sheetViews>
  <sheetFormatPr baseColWidth="10" defaultRowHeight="16" x14ac:dyDescent="0.2"/>
  <cols>
    <col min="1" max="1" width="10.1640625" bestFit="1" customWidth="1"/>
    <col min="2" max="2" width="24.6640625" bestFit="1" customWidth="1"/>
    <col min="3" max="3" width="9.1640625" style="5" bestFit="1" customWidth="1"/>
    <col min="4" max="4" width="9.1640625" style="16" customWidth="1"/>
    <col min="5" max="5" width="33.33203125" bestFit="1" customWidth="1"/>
  </cols>
  <sheetData>
    <row r="1" spans="1:5" x14ac:dyDescent="0.2">
      <c r="A1" t="s">
        <v>13</v>
      </c>
      <c r="B1" t="s">
        <v>14</v>
      </c>
      <c r="C1" s="5" t="s">
        <v>15</v>
      </c>
      <c r="D1" s="16" t="s">
        <v>49</v>
      </c>
      <c r="E1" t="s">
        <v>44</v>
      </c>
    </row>
    <row r="2" spans="1:5" x14ac:dyDescent="0.2">
      <c r="A2" t="s">
        <v>11</v>
      </c>
      <c r="B2" t="s">
        <v>12</v>
      </c>
      <c r="C2" s="5">
        <v>1300</v>
      </c>
      <c r="D2" s="16">
        <v>1</v>
      </c>
      <c r="E2" t="s">
        <v>48</v>
      </c>
    </row>
    <row r="3" spans="1:5" x14ac:dyDescent="0.2">
      <c r="A3" t="s">
        <v>45</v>
      </c>
      <c r="B3" t="s">
        <v>46</v>
      </c>
      <c r="C3" s="5">
        <v>0</v>
      </c>
      <c r="E3" t="s">
        <v>47</v>
      </c>
    </row>
    <row r="4" spans="1:5" x14ac:dyDescent="0.2">
      <c r="A4" t="s">
        <v>51</v>
      </c>
      <c r="B4" t="s">
        <v>52</v>
      </c>
      <c r="C4" s="5">
        <v>0</v>
      </c>
    </row>
    <row r="5" spans="1:5" x14ac:dyDescent="0.2">
      <c r="A5" t="s">
        <v>62</v>
      </c>
      <c r="B5" t="s">
        <v>63</v>
      </c>
      <c r="C5" s="5">
        <v>1200</v>
      </c>
    </row>
    <row r="6" spans="1:5" x14ac:dyDescent="0.2">
      <c r="A6" t="s">
        <v>74</v>
      </c>
      <c r="B6" t="s">
        <v>63</v>
      </c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MDA_INVOICE</vt:lpstr>
      <vt:lpstr>CONTRACT</vt:lpstr>
      <vt:lpstr>LINE_ITEM</vt:lpstr>
      <vt:lpstr>AddressList</vt:lpstr>
      <vt:lpstr>BillName</vt:lpstr>
      <vt:lpstr>CodesList</vt:lpstr>
      <vt:lpstr>ContractName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Delano</dc:creator>
  <cp:lastModifiedBy>Mike Delano</cp:lastModifiedBy>
  <cp:lastPrinted>2022-02-02T15:10:09Z</cp:lastPrinted>
  <dcterms:created xsi:type="dcterms:W3CDTF">2022-02-02T12:05:08Z</dcterms:created>
  <dcterms:modified xsi:type="dcterms:W3CDTF">2026-01-15T23:47:43Z</dcterms:modified>
</cp:coreProperties>
</file>